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Initial Investment</t>
        </is>
      </c>
      <c r="B2" t="n">
        <v>-10000</v>
      </c>
    </row>
    <row r="3">
      <c r="A3" t="inlineStr">
        <is>
          <t>Discount Rate</t>
        </is>
      </c>
      <c r="B3" t="n">
        <v>0.08</v>
      </c>
    </row>
    <row r="4">
      <c r="A4" t="inlineStr">
        <is>
          <t>Tax Rate</t>
        </is>
      </c>
      <c r="B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EBIT</t>
        </is>
      </c>
      <c r="E1" s="1" t="inlineStr">
        <is>
          <t>Tax</t>
        </is>
      </c>
      <c r="F1" s="1" t="inlineStr">
        <is>
          <t>NOPAT</t>
        </is>
      </c>
      <c r="G1" s="1" t="inlineStr">
        <is>
          <t>Free Cash Flow</t>
        </is>
      </c>
      <c r="H1" s="1" t="inlineStr">
        <is>
          <t>Discount Factor</t>
        </is>
      </c>
      <c r="I1" s="1" t="inlineStr">
        <is>
          <t>PV of FCF</t>
        </is>
      </c>
    </row>
    <row r="3">
      <c r="A3" t="n">
        <v>1</v>
      </c>
      <c r="B3" t="n">
        <v>10000</v>
      </c>
      <c r="C3" t="n">
        <v>5000</v>
      </c>
      <c r="D3">
        <f>B3-C3</f>
        <v/>
      </c>
      <c r="E3">
        <f>D3*Assumptions!$B$4</f>
        <v/>
      </c>
      <c r="F3">
        <f>D3-E3</f>
        <v/>
      </c>
      <c r="G3">
        <f>F3</f>
        <v/>
      </c>
      <c r="H3">
        <f>1/(1+Assumptions!$B$3)^A3</f>
        <v/>
      </c>
      <c r="I3">
        <f>G3*H3</f>
        <v/>
      </c>
    </row>
    <row r="4">
      <c r="A4" t="n">
        <v>2</v>
      </c>
      <c r="B4" t="n">
        <v>11000</v>
      </c>
      <c r="C4" t="n">
        <v>4750</v>
      </c>
      <c r="D4">
        <f>B4-C4</f>
        <v/>
      </c>
      <c r="E4">
        <f>D4*Assumptions!$B$4</f>
        <v/>
      </c>
      <c r="F4">
        <f>D4-E4</f>
        <v/>
      </c>
      <c r="G4">
        <f>F4</f>
        <v/>
      </c>
      <c r="H4">
        <f>1/(1+Assumptions!$B$3)^A4</f>
        <v/>
      </c>
      <c r="I4">
        <f>G4*H4</f>
        <v/>
      </c>
    </row>
    <row r="5">
      <c r="A5" t="n">
        <v>3</v>
      </c>
      <c r="B5" t="n">
        <v>12000</v>
      </c>
      <c r="C5" t="n">
        <v>4500</v>
      </c>
      <c r="D5">
        <f>B5-C5</f>
        <v/>
      </c>
      <c r="E5">
        <f>D5*Assumptions!$B$4</f>
        <v/>
      </c>
      <c r="F5">
        <f>D5-E5</f>
        <v/>
      </c>
      <c r="G5">
        <f>F5</f>
        <v/>
      </c>
      <c r="H5">
        <f>1/(1+Assumptions!$B$3)^A5</f>
        <v/>
      </c>
      <c r="I5">
        <f>G5*H5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NPV</t>
        </is>
      </c>
      <c r="B2">
        <f>Assumptions!B2+SUM(Projections!I3:I5)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2026-10-15T06:35:02Z</dcterms:created>
  <dcterms:modified xsi:type="dcterms:W3CDTF">2026-10-15T06:35:02Z</dcterms:modified>
</cp:coreProperties>
</file>